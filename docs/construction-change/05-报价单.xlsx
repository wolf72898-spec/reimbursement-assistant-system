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报价单" sheetId="1" state="visible" r:id="rId3"/>
  </sheets>
  <definedNames>
    <definedName function="false" hidden="false" localSheetId="0" name="_xlnm.Print_Area" vbProcedure="false">报价单!$A$1:$I$21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<sst xmlns="http://schemas.openxmlformats.org/spreadsheetml/2006/main" count="67" uniqueCount="58">
  <si>
    <r>
      <rPr>
        <b val="true"/>
        <sz val="16"/>
        <color rgb="FF4472C4"/>
        <rFont val="Noto Sans SC"/>
        <family val="2"/>
      </rPr>
      <t xml:space="preserve">远筑工程 </t>
    </r>
    <r>
      <rPr>
        <b val="true"/>
        <sz val="16"/>
        <color rgb="FF4472C4"/>
        <rFont val="Cambria"/>
        <family val="0"/>
        <charset val="1"/>
      </rPr>
      <t xml:space="preserve">· </t>
    </r>
    <r>
      <rPr>
        <b val="true"/>
        <sz val="16"/>
        <color rgb="FF4472C4"/>
        <rFont val="Noto Sans SC"/>
        <family val="2"/>
      </rPr>
      <t xml:space="preserve">工程变更与签证协同 </t>
    </r>
    <r>
      <rPr>
        <b val="true"/>
        <sz val="16"/>
        <color rgb="FF4472C4"/>
        <rFont val="Cambria"/>
        <family val="0"/>
        <charset val="1"/>
      </rPr>
      <t xml:space="preserve">AI </t>
    </r>
    <r>
      <rPr>
        <b val="true"/>
        <sz val="16"/>
        <color rgb="FF4472C4"/>
        <rFont val="Noto Sans SC"/>
        <family val="2"/>
      </rPr>
      <t xml:space="preserve">助手项目报价单</t>
    </r>
  </si>
  <si>
    <t xml:space="preserve">客户（甲方）：远筑工程</t>
  </si>
  <si>
    <r>
      <rPr>
        <sz val="10.5"/>
        <rFont val="Noto Sans SC"/>
        <family val="2"/>
      </rPr>
      <t xml:space="preserve">报价方（乙方）：</t>
    </r>
    <r>
      <rPr>
        <sz val="10.5"/>
        <rFont val="Cambria"/>
        <family val="0"/>
        <charset val="1"/>
      </rPr>
      <t xml:space="preserve">AI </t>
    </r>
    <r>
      <rPr>
        <sz val="10.5"/>
        <rFont val="Noto Sans SC"/>
        <family val="2"/>
      </rPr>
      <t xml:space="preserve">实施服务商</t>
    </r>
  </si>
  <si>
    <r>
      <rPr>
        <sz val="10.5"/>
        <rFont val="Noto Sans SC"/>
        <family val="2"/>
      </rPr>
      <t xml:space="preserve">项目名称：工程变更与签证协同数智化试点（首期 </t>
    </r>
    <r>
      <rPr>
        <sz val="10.5"/>
        <rFont val="Cambria"/>
        <family val="0"/>
        <charset val="1"/>
      </rPr>
      <t xml:space="preserve">3 </t>
    </r>
    <r>
      <rPr>
        <sz val="10.5"/>
        <rFont val="Noto Sans SC"/>
        <family val="2"/>
      </rPr>
      <t xml:space="preserve">个月）</t>
    </r>
  </si>
  <si>
    <r>
      <rPr>
        <sz val="10.5"/>
        <rFont val="Noto Sans SC"/>
        <family val="2"/>
      </rPr>
      <t xml:space="preserve">报价日期：</t>
    </r>
    <r>
      <rPr>
        <sz val="10.5"/>
        <rFont val="Cambria"/>
        <family val="0"/>
        <charset val="1"/>
      </rPr>
      <t xml:space="preserve">2026-10-30    </t>
    </r>
    <r>
      <rPr>
        <sz val="10.5"/>
        <rFont val="Noto Sans SC"/>
        <family val="2"/>
      </rPr>
      <t xml:space="preserve">报价有效期：</t>
    </r>
    <r>
      <rPr>
        <sz val="10.5"/>
        <rFont val="Cambria"/>
        <family val="0"/>
        <charset val="1"/>
      </rPr>
      <t xml:space="preserve">30 </t>
    </r>
    <r>
      <rPr>
        <sz val="10.5"/>
        <rFont val="Noto Sans SC"/>
        <family val="2"/>
      </rPr>
      <t xml:space="preserve">天</t>
    </r>
  </si>
  <si>
    <t xml:space="preserve">序号</t>
  </si>
  <si>
    <t xml:space="preserve">类别</t>
  </si>
  <si>
    <t xml:space="preserve">费用项</t>
  </si>
  <si>
    <t xml:space="preserve">内容说明</t>
  </si>
  <si>
    <t xml:space="preserve">单位</t>
  </si>
  <si>
    <t xml:space="preserve">数量</t>
  </si>
  <si>
    <t xml:space="preserve">单价（元）</t>
  </si>
  <si>
    <t xml:space="preserve">小计（元）</t>
  </si>
  <si>
    <t xml:space="preserve">备注</t>
  </si>
  <si>
    <t xml:space="preserve">实施服务</t>
  </si>
  <si>
    <t xml:space="preserve">业务挖掘与现场调研</t>
  </si>
  <si>
    <t xml:space="preserve">六角色访谈、机会清单、指标基线与现状流程图</t>
  </si>
  <si>
    <t xml:space="preserve">人天</t>
  </si>
  <si>
    <t xml:space="preserve">含访谈纪要与收敛表</t>
  </si>
  <si>
    <t xml:space="preserve">需求定义与方案设计</t>
  </si>
  <si>
    <t xml:space="preserve">需求规格、验收清单、设计方案与实施计划</t>
  </si>
  <si>
    <t xml:space="preserve">平台配置与构建集成</t>
  </si>
  <si>
    <t xml:space="preserve">统一变更入口、版本管理、权限中心、消息推送</t>
  </si>
  <si>
    <t xml:space="preserve">不含业主侧系统改造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</si>
  <si>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SC"/>
        <family val="2"/>
      </rPr>
      <t xml:space="preserve">能力接入与调优</t>
    </r>
  </si>
  <si>
    <t xml:space="preserve">图纸比对、变更影响识别、签证单起草提示词调优</t>
  </si>
  <si>
    <t xml:space="preserve">含样本验证</t>
  </si>
  <si>
    <t xml:space="preserve">测试评估与试点支持</t>
  </si>
  <si>
    <t xml:space="preserve">试点上线陪跑、每周复盘、指标对照评估</t>
  </si>
  <si>
    <t xml:space="preserve">平台订阅</t>
  </si>
  <si>
    <t xml:space="preserve">协同平台订阅费</t>
  </si>
  <si>
    <r>
      <rPr>
        <sz val="10"/>
        <rFont val="Noto Sans SC"/>
        <family val="2"/>
      </rPr>
      <t xml:space="preserve">变更</t>
    </r>
    <r>
      <rPr>
        <sz val="10"/>
        <rFont val="Cambria"/>
        <family val="0"/>
        <charset val="1"/>
      </rPr>
      <t xml:space="preserve">/</t>
    </r>
    <r>
      <rPr>
        <sz val="10"/>
        <rFont val="Noto Sans SC"/>
        <family val="2"/>
      </rPr>
      <t xml:space="preserve">签证协同平台，含 </t>
    </r>
    <r>
      <rPr>
        <sz val="10"/>
        <rFont val="Cambria"/>
        <family val="0"/>
        <charset val="1"/>
      </rPr>
      <t xml:space="preserve">50 </t>
    </r>
    <r>
      <rPr>
        <sz val="10"/>
        <rFont val="Noto Sans SC"/>
        <family val="2"/>
      </rPr>
      <t xml:space="preserve">用户账号</t>
    </r>
  </si>
  <si>
    <t xml:space="preserve">月</t>
  </si>
  <si>
    <r>
      <rPr>
        <sz val="11"/>
        <color theme="1"/>
        <rFont val="Noto Sans SC"/>
        <family val="2"/>
      </rPr>
      <t xml:space="preserve">试点期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SC"/>
        <family val="2"/>
      </rPr>
      <t xml:space="preserve">个月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</si>
  <si>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SC"/>
        <family val="2"/>
      </rPr>
      <t xml:space="preserve">用量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</si>
  <si>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SC"/>
        <family val="2"/>
      </rPr>
      <t xml:space="preserve">文档处理用量包</t>
    </r>
  </si>
  <si>
    <t xml:space="preserve">图纸比对、要素提取、起草生成等用量</t>
  </si>
  <si>
    <t xml:space="preserve">万次</t>
  </si>
  <si>
    <t xml:space="preserve">超出部分按量另计</t>
  </si>
  <si>
    <t xml:space="preserve">培训交付</t>
  </si>
  <si>
    <t xml:space="preserve">现场培训与操作手册</t>
  </si>
  <si>
    <r>
      <rPr>
        <sz val="10"/>
        <rFont val="Noto Sans SC"/>
        <family val="2"/>
      </rPr>
      <t xml:space="preserve">管理端与现场端培训各 </t>
    </r>
    <r>
      <rPr>
        <sz val="10"/>
        <rFont val="Cambria"/>
        <family val="0"/>
        <charset val="1"/>
      </rPr>
      <t xml:space="preserve">1 </t>
    </r>
    <r>
      <rPr>
        <sz val="10"/>
        <rFont val="Noto Sans SC"/>
        <family val="2"/>
      </rPr>
      <t xml:space="preserve">场，含操作手册</t>
    </r>
  </si>
  <si>
    <t xml:space="preserve">场</t>
  </si>
  <si>
    <t xml:space="preserve">运维支持</t>
  </si>
  <si>
    <t xml:space="preserve">试点期远程运维支持</t>
  </si>
  <si>
    <t xml:space="preserve">工单响应、故障处理、月度运营报告</t>
  </si>
  <si>
    <t xml:space="preserve">项</t>
  </si>
  <si>
    <r>
      <rPr>
        <sz val="11"/>
        <color theme="1"/>
        <rFont val="Noto Sans SC"/>
        <family val="2"/>
      </rPr>
      <t xml:space="preserve">工作日 </t>
    </r>
    <r>
      <rPr>
        <sz val="11"/>
        <color theme="1"/>
        <rFont val="Calibri"/>
        <family val="2"/>
        <charset val="1"/>
      </rPr>
      <t xml:space="preserve">5×8 </t>
    </r>
    <r>
      <rPr>
        <sz val="11"/>
        <color theme="1"/>
        <rFont val="Noto Sans SC"/>
        <family val="2"/>
      </rPr>
      <t xml:space="preserve">小时</t>
    </r>
  </si>
  <si>
    <t xml:space="preserve">合计（含税）</t>
  </si>
  <si>
    <t xml:space="preserve">首期试点打包价</t>
  </si>
  <si>
    <r>
      <rPr>
        <b val="true"/>
        <sz val="11"/>
        <color rgb="FFFFFFFF"/>
        <rFont val="Noto Sans SC"/>
        <family val="2"/>
      </rPr>
      <t xml:space="preserve">报价总额大写：人民币贰拾捌万陆仟元整（</t>
    </r>
    <r>
      <rPr>
        <b val="true"/>
        <sz val="11"/>
        <color rgb="FFFFFFFF"/>
        <rFont val="Cambria"/>
        <family val="0"/>
        <charset val="1"/>
      </rPr>
      <t xml:space="preserve">¥286,000.00</t>
    </r>
    <r>
      <rPr>
        <b val="true"/>
        <sz val="11"/>
        <color rgb="FFFFFFFF"/>
        <rFont val="Noto Sans SC"/>
        <family val="2"/>
      </rPr>
      <t xml:space="preserve">）</t>
    </r>
  </si>
  <si>
    <r>
      <rPr>
        <sz val="9.5"/>
        <color rgb="FF555555"/>
        <rFont val="Noto Sans SC"/>
        <family val="2"/>
      </rPr>
      <t xml:space="preserve">备注：</t>
    </r>
    <r>
      <rPr>
        <sz val="9.5"/>
        <color rgb="FF555555"/>
        <rFont val="Cambria"/>
        <family val="0"/>
        <charset val="1"/>
      </rPr>
      <t xml:space="preserve">1. </t>
    </r>
    <r>
      <rPr>
        <sz val="9.5"/>
        <color rgb="FF555555"/>
        <rFont val="Noto Sans SC"/>
        <family val="2"/>
      </rPr>
      <t xml:space="preserve">以上为首期试点（</t>
    </r>
    <r>
      <rPr>
        <sz val="9.5"/>
        <color rgb="FF555555"/>
        <rFont val="Cambria"/>
        <family val="0"/>
        <charset val="1"/>
      </rPr>
      <t xml:space="preserve">3 </t>
    </r>
    <r>
      <rPr>
        <sz val="9.5"/>
        <color rgb="FF555555"/>
        <rFont val="Noto Sans SC"/>
        <family val="2"/>
      </rPr>
      <t xml:space="preserve">个月）打包价，含税；正式推广阶段按项目数量与用户规模另行报价。</t>
    </r>
  </si>
  <si>
    <r>
      <rPr>
        <sz val="9.5"/>
        <color rgb="FF555555"/>
        <rFont val="Cambria"/>
        <family val="0"/>
        <charset val="1"/>
      </rPr>
      <t xml:space="preserve">2. </t>
    </r>
    <r>
      <rPr>
        <sz val="9.5"/>
        <color rgb="FF555555"/>
        <rFont val="Noto Sans SC"/>
        <family val="2"/>
      </rPr>
      <t xml:space="preserve">业主侧系统对接改造、电子签章年费、私有化部署等需求不在本报价范围内，另行核算。</t>
    </r>
  </si>
  <si>
    <r>
      <rPr>
        <sz val="9.5"/>
        <color rgb="FF555555"/>
        <rFont val="Cambria"/>
        <family val="0"/>
        <charset val="1"/>
      </rPr>
      <t xml:space="preserve">3. </t>
    </r>
    <r>
      <rPr>
        <sz val="9.5"/>
        <color rgb="FF555555"/>
        <rFont val="Noto Sans SC"/>
        <family val="2"/>
      </rPr>
      <t xml:space="preserve">付款方式建议：合同签订 </t>
    </r>
    <r>
      <rPr>
        <sz val="9.5"/>
        <color rgb="FF555555"/>
        <rFont val="Cambria"/>
        <family val="0"/>
        <charset val="1"/>
      </rPr>
      <t xml:space="preserve">50%</t>
    </r>
    <r>
      <rPr>
        <sz val="9.5"/>
        <color rgb="FF555555"/>
        <rFont val="Noto Sans SC"/>
        <family val="2"/>
      </rPr>
      <t xml:space="preserve">，试点验收通过 </t>
    </r>
    <r>
      <rPr>
        <sz val="9.5"/>
        <color rgb="FF555555"/>
        <rFont val="Cambria"/>
        <family val="0"/>
        <charset val="1"/>
      </rPr>
      <t xml:space="preserve">50%</t>
    </r>
    <r>
      <rPr>
        <sz val="9.5"/>
        <color rgb="FF555555"/>
        <rFont val="Noto Sans SC"/>
        <family val="2"/>
      </rPr>
      <t xml:space="preserve">。</t>
    </r>
  </si>
  <si>
    <r>
      <rPr>
        <sz val="10.5"/>
        <rFont val="Noto Sans SC"/>
        <family val="2"/>
      </rPr>
      <t xml:space="preserve">报价人（乙方）：</t>
    </r>
    <r>
      <rPr>
        <sz val="10.5"/>
        <rFont val="Cambria"/>
        <family val="0"/>
        <charset val="1"/>
      </rPr>
      <t xml:space="preserve">____________</t>
    </r>
  </si>
  <si>
    <r>
      <rPr>
        <sz val="10.5"/>
        <rFont val="Noto Sans SC"/>
        <family val="2"/>
      </rPr>
      <t xml:space="preserve">审核（乙方）：</t>
    </r>
    <r>
      <rPr>
        <sz val="10.5"/>
        <rFont val="Cambria"/>
        <family val="0"/>
        <charset val="1"/>
      </rPr>
      <t xml:space="preserve">____________</t>
    </r>
  </si>
  <si>
    <r>
      <rPr>
        <sz val="10.5"/>
        <rFont val="Noto Sans SC"/>
        <family val="2"/>
      </rPr>
      <t xml:space="preserve">客户确认（甲方）：</t>
    </r>
    <r>
      <rPr>
        <sz val="10.5"/>
        <rFont val="Cambria"/>
        <family val="0"/>
        <charset val="1"/>
      </rPr>
      <t xml:space="preserve">____________</t>
    </r>
  </si>
  <si>
    <r>
      <rPr>
        <sz val="10.5"/>
        <rFont val="Noto Sans SC"/>
        <family val="2"/>
      </rPr>
      <t xml:space="preserve">日期：</t>
    </r>
    <r>
      <rPr>
        <sz val="10.5"/>
        <rFont val="Cambria"/>
        <family val="0"/>
        <charset val="1"/>
      </rPr>
      <t xml:space="preserve">____________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</si>
</sst>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¥#,##0.00"/>
  </numFmts>
  <fonts count="15">
    <font>
      <sz val="11"/>
      <color theme="1"/>
      <name val="Noto Sans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C4"/>
      <name val="Noto Sans SC"/>
      <family val="2"/>
    </font>
    <font>
      <b val="true"/>
      <sz val="16"/>
      <color rgb="FF4472C4"/>
      <name val="Cambria"/>
      <family val="0"/>
      <charset val="1"/>
    </font>
    <font>
      <sz val="10.5"/>
      <name val="Noto Sans SC"/>
      <family val="2"/>
    </font>
    <font>
      <sz val="10.5"/>
      <name val="Cambria"/>
      <family val="0"/>
      <charset val="1"/>
    </font>
    <font>
      <b val="true"/>
      <sz val="11"/>
      <color rgb="FFFFFFFF"/>
      <name val="Noto Sans SC"/>
      <family val="2"/>
    </font>
    <font>
      <sz val="11"/>
      <color theme="1"/>
      <name val="Calibri"/>
      <family val="2"/>
      <charset val="1"/>
    </font>
    <font>
      <sz val="10"/>
      <name val="Noto Sans SC"/>
      <family val="2"/>
    </font>
    <font>
      <sz val="1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9.5"/>
      <color rgb="FF555555"/>
      <name val="Noto Sans SC"/>
      <family val="2"/>
    </font>
    <font>
      <sz val="9.5"/>
      <color rgb="FF555555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4472C4"/>
        <bgColor rgb="FF2F5597"/>
      </patternFill>
    </fill>
    <fill>
      <patternFill patternType="solid">
        <fgColor rgb="FF2F5597"/>
        <bgColor rgb="FF4472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9140625" defaultRowHeight="15" customHeight="false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10.92"/>
    <col collapsed="false" customWidth="true" hidden="false" outlineLevel="0" max="3" min="3" style="0" width="23.66"/>
    <col collapsed="false" customWidth="true" hidden="false" outlineLevel="0" max="4" min="4" style="0" width="36.39"/>
    <col collapsed="false" customWidth="true" hidden="false" outlineLevel="0" max="6" min="5" style="0" width="7.28"/>
    <col collapsed="false" customWidth="true" hidden="false" outlineLevel="0" max="7" min="7" style="0" width="10.92"/>
    <col collapsed="false" customWidth="true" hidden="false" outlineLevel="0" max="8" min="8" style="0" width="12.74"/>
    <col collapsed="false" customWidth="true" hidden="false" outlineLevel="0" max="9" min="9" style="0" width="16.3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</row>
    <row r="3" customFormat="false" ht="15" hidden="false" customHeight="false" outlineLevel="0" collapsed="false">
      <c r="A3" s="2" t="s">
        <v>3</v>
      </c>
      <c r="B3" s="2"/>
      <c r="C3" s="2"/>
      <c r="D3" s="2"/>
      <c r="E3" s="2"/>
      <c r="F3" s="2" t="s">
        <v>4</v>
      </c>
      <c r="G3" s="2"/>
      <c r="H3" s="2"/>
      <c r="I3" s="2"/>
    </row>
    <row r="4" customFormat="false" ht="21.75" hidden="false" customHeight="true" outlineLevel="0" collapsed="false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customFormat="false" ht="28" hidden="false" customHeight="false" outlineLevel="0" collapsed="false">
      <c r="A5" s="4" t="n">
        <v>1</v>
      </c>
      <c r="B5" s="5" t="s">
        <v>14</v>
      </c>
      <c r="C5" s="5" t="s">
        <v>15</v>
      </c>
      <c r="D5" s="6" t="s">
        <v>16</v>
      </c>
      <c r="E5" s="7" t="s">
        <v>17</v>
      </c>
      <c r="F5" s="7" t="n">
        <v>10</v>
      </c>
      <c r="G5" s="8" t="n">
        <v>4800</v>
      </c>
      <c r="H5" s="8" t="n">
        <f aca="false">IF(OR(F5="",G5=""),"",F5*G5)</f>
        <v>48000</v>
      </c>
      <c r="I5" s="5" t="s">
        <v>18</v>
      </c>
    </row>
    <row r="6" customFormat="false" ht="15" hidden="false" customHeight="false" outlineLevel="0" collapsed="false">
      <c r="A6" s="7" t="n">
        <v>2</v>
      </c>
      <c r="B6" s="5" t="s">
        <v>14</v>
      </c>
      <c r="C6" s="5" t="s">
        <v>19</v>
      </c>
      <c r="D6" s="6" t="s">
        <v>20</v>
      </c>
      <c r="E6" s="7" t="s">
        <v>17</v>
      </c>
      <c r="F6" s="7" t="n">
        <v>8</v>
      </c>
      <c r="G6" s="8" t="n">
        <v>4800</v>
      </c>
      <c r="H6" s="8" t="n">
        <f aca="false">IF(OR(F6="",G6=""),"",F6*G6)</f>
        <v>38400</v>
      </c>
      <c r="I6" s="5"/>
    </row>
    <row r="7" customFormat="false" ht="28" hidden="false" customHeight="false" outlineLevel="0" collapsed="false">
      <c r="A7" s="7" t="n">
        <v>3</v>
      </c>
      <c r="B7" s="5" t="s">
        <v>14</v>
      </c>
      <c r="C7" s="5" t="s">
        <v>21</v>
      </c>
      <c r="D7" s="6" t="s">
        <v>22</v>
      </c>
      <c r="E7" s="7" t="s">
        <v>17</v>
      </c>
      <c r="F7" s="7" t="n">
        <v>15</v>
      </c>
      <c r="G7" s="8" t="n">
        <v>4800</v>
      </c>
      <c r="H7" s="8" t="n">
        <f aca="false">IF(OR(F7="",G7=""),"",F7*G7)</f>
        <v>72000</v>
      </c>
      <c r="I7" s="5" t="s">
        <v>23</v>
      </c>
    </row>
    <row r="8" customFormat="false" ht="26" hidden="false" customHeight="false" outlineLevel="0" collapsed="false">
      <c r="A8" s="7" t="n">
        <v>4</v>
      </c>
      <c r="B8" s="5" t="s">
        <v>14</v>
      </c>
      <c r="C8" s="9" t="s">
        <v>24</v>
      </c>
      <c r="D8" s="6" t="s">
        <v>25</v>
      </c>
      <c r="E8" s="7" t="s">
        <v>17</v>
      </c>
      <c r="F8" s="7" t="n">
        <v>10</v>
      </c>
      <c r="G8" s="8" t="n">
        <v>5600</v>
      </c>
      <c r="H8" s="8" t="n">
        <f aca="false">IF(OR(F8="",G8=""),"",F8*G8)</f>
        <v>56000</v>
      </c>
      <c r="I8" s="5" t="s">
        <v>26</v>
      </c>
    </row>
    <row r="9" customFormat="false" ht="15" hidden="false" customHeight="false" outlineLevel="0" collapsed="false">
      <c r="A9" s="7" t="n">
        <v>5</v>
      </c>
      <c r="B9" s="5" t="s">
        <v>14</v>
      </c>
      <c r="C9" s="5" t="s">
        <v>27</v>
      </c>
      <c r="D9" s="6" t="s">
        <v>28</v>
      </c>
      <c r="E9" s="7" t="s">
        <v>17</v>
      </c>
      <c r="F9" s="7" t="n">
        <v>6</v>
      </c>
      <c r="G9" s="8" t="n">
        <v>4800</v>
      </c>
      <c r="H9" s="8" t="n">
        <f aca="false">IF(OR(F9="",G9=""),"",F9*G9)</f>
        <v>28800</v>
      </c>
      <c r="I9" s="5"/>
    </row>
    <row r="10" customFormat="false" ht="16" hidden="false" customHeight="false" outlineLevel="0" collapsed="false">
      <c r="A10" s="7" t="n">
        <v>6</v>
      </c>
      <c r="B10" s="5" t="s">
        <v>29</v>
      </c>
      <c r="C10" s="5" t="s">
        <v>30</v>
      </c>
      <c r="D10" s="6" t="s">
        <v>31</v>
      </c>
      <c r="E10" s="7" t="s">
        <v>32</v>
      </c>
      <c r="F10" s="7" t="n">
        <v>3</v>
      </c>
      <c r="G10" s="8" t="n">
        <v>8000</v>
      </c>
      <c r="H10" s="8" t="n">
        <f aca="false">IF(OR(F10="",G10=""),"",F10*G10)</f>
        <v>24000</v>
      </c>
      <c r="I10" s="5" t="s">
        <v>33</v>
      </c>
    </row>
    <row r="11" customFormat="false" ht="16" hidden="false" customHeight="false" outlineLevel="0" collapsed="false">
      <c r="A11" s="7" t="n">
        <v>7</v>
      </c>
      <c r="B11" s="9" t="s">
        <v>34</v>
      </c>
      <c r="C11" s="9" t="s">
        <v>35</v>
      </c>
      <c r="D11" s="6" t="s">
        <v>36</v>
      </c>
      <c r="E11" s="7" t="s">
        <v>37</v>
      </c>
      <c r="F11" s="7" t="n">
        <v>3</v>
      </c>
      <c r="G11" s="8" t="n">
        <v>3000</v>
      </c>
      <c r="H11" s="8" t="n">
        <f aca="false">IF(OR(F11="",G11=""),"",F11*G11)</f>
        <v>9000</v>
      </c>
      <c r="I11" s="5" t="s">
        <v>38</v>
      </c>
    </row>
    <row r="12" customFormat="false" ht="15" hidden="false" customHeight="false" outlineLevel="0" collapsed="false">
      <c r="A12" s="7" t="n">
        <v>8</v>
      </c>
      <c r="B12" s="5" t="s">
        <v>39</v>
      </c>
      <c r="C12" s="5" t="s">
        <v>40</v>
      </c>
      <c r="D12" s="6" t="s">
        <v>41</v>
      </c>
      <c r="E12" s="7" t="s">
        <v>42</v>
      </c>
      <c r="F12" s="7" t="n">
        <v>2</v>
      </c>
      <c r="G12" s="8" t="n">
        <v>3600</v>
      </c>
      <c r="H12" s="8" t="n">
        <f aca="false">IF(OR(F12="",G12=""),"",F12*G12)</f>
        <v>7200</v>
      </c>
      <c r="I12" s="5"/>
    </row>
    <row r="13" customFormat="false" ht="16" hidden="false" customHeight="false" outlineLevel="0" collapsed="false">
      <c r="A13" s="7" t="n">
        <v>9</v>
      </c>
      <c r="B13" s="5" t="s">
        <v>43</v>
      </c>
      <c r="C13" s="5" t="s">
        <v>44</v>
      </c>
      <c r="D13" s="6" t="s">
        <v>45</v>
      </c>
      <c r="E13" s="7" t="s">
        <v>46</v>
      </c>
      <c r="F13" s="7" t="n">
        <v>1</v>
      </c>
      <c r="G13" s="8" t="n">
        <v>2600</v>
      </c>
      <c r="H13" s="8" t="n">
        <f aca="false">IF(OR(F13="",G13=""),"",F13*G13)</f>
        <v>2600</v>
      </c>
      <c r="I13" s="5" t="s">
        <v>47</v>
      </c>
    </row>
    <row r="14" customFormat="false" ht="21.75" hidden="false" customHeight="true" outlineLevel="0" collapsed="false">
      <c r="A14" s="10" t="s">
        <v>48</v>
      </c>
      <c r="B14" s="10"/>
      <c r="C14" s="10"/>
      <c r="D14" s="10"/>
      <c r="E14" s="10"/>
      <c r="F14" s="10"/>
      <c r="G14" s="10"/>
      <c r="H14" s="11" t="n">
        <f aca="false">SUM(H5:H13)</f>
        <v>286000</v>
      </c>
      <c r="I14" s="10" t="s">
        <v>49</v>
      </c>
    </row>
    <row r="15" customFormat="false" ht="15.5" hidden="false" customHeight="false" outlineLevel="0" collapsed="false">
      <c r="A15" s="10" t="s">
        <v>50</v>
      </c>
      <c r="B15" s="10"/>
      <c r="C15" s="10"/>
      <c r="D15" s="10"/>
      <c r="E15" s="10"/>
      <c r="F15" s="10"/>
      <c r="G15" s="10"/>
      <c r="H15" s="10"/>
      <c r="I15" s="10"/>
    </row>
    <row r="16" customFormat="false" ht="13.5" hidden="false" customHeight="false" outlineLevel="0" collapsed="false">
      <c r="A16" s="12" t="s">
        <v>51</v>
      </c>
      <c r="B16" s="12"/>
      <c r="C16" s="12"/>
      <c r="D16" s="12"/>
      <c r="E16" s="12"/>
      <c r="F16" s="12"/>
      <c r="G16" s="12"/>
      <c r="H16" s="12"/>
      <c r="I16" s="12"/>
    </row>
    <row r="17" customFormat="false" ht="13.5" hidden="false" customHeight="false" outlineLevel="0" collapsed="false">
      <c r="A17" s="13" t="s">
        <v>52</v>
      </c>
      <c r="B17" s="13"/>
      <c r="C17" s="13"/>
      <c r="D17" s="13"/>
      <c r="E17" s="13"/>
      <c r="F17" s="13"/>
      <c r="G17" s="13"/>
      <c r="H17" s="13"/>
      <c r="I17" s="13"/>
    </row>
    <row r="18" customFormat="false" ht="13.5" hidden="false" customHeight="false" outlineLevel="0" collapsed="false">
      <c r="A18" s="13" t="s">
        <v>53</v>
      </c>
      <c r="B18" s="13"/>
      <c r="C18" s="13"/>
      <c r="D18" s="13"/>
      <c r="E18" s="13"/>
      <c r="F18" s="13"/>
      <c r="G18" s="13"/>
      <c r="H18" s="13"/>
      <c r="I18" s="13"/>
    </row>
    <row r="20" customFormat="false" ht="15" hidden="false" customHeight="false" outlineLevel="0" collapsed="false">
      <c r="A20" s="14" t="s">
        <v>54</v>
      </c>
      <c r="B20" s="14"/>
      <c r="C20" s="14"/>
      <c r="D20" s="14" t="s">
        <v>55</v>
      </c>
      <c r="E20" s="14"/>
      <c r="F20" s="14"/>
      <c r="G20" s="14" t="s">
        <v>56</v>
      </c>
      <c r="H20" s="14"/>
      <c r="I20" s="14"/>
    </row>
    <row r="21" customFormat="false" ht="15" hidden="false" customHeight="false" outlineLevel="0" collapsed="false">
      <c r="A21" s="15" t="s">
        <v>57</v>
      </c>
      <c r="B21" s="15"/>
      <c r="C21" s="15"/>
      <c r="D21" s="15"/>
      <c r="E21" s="15"/>
      <c r="F21" s="15"/>
      <c r="G21" s="15" t="s">
        <v>57</v>
      </c>
      <c r="H21" s="15"/>
      <c r="I21" s="15"/>
    </row>
  </sheetData>
  <mergeCells count="13">
    <mergeCell ref="A1:I1"/>
    <mergeCell ref="A2:E2"/>
    <mergeCell ref="F2:I2"/>
    <mergeCell ref="A3:E3"/>
    <mergeCell ref="F3:I3"/>
    <mergeCell ref="A14:G14"/>
    <mergeCell ref="A15:I15"/>
    <mergeCell ref="A16:I16"/>
    <mergeCell ref="A17:I17"/>
    <mergeCell ref="A18:I18"/>
    <mergeCell ref="A20:C20"/>
    <mergeCell ref="D20:F20"/>
    <mergeCell ref="G20:I2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2026-10-30T03:22:04Z</dcterms:created>
  <dc:creator>openpyxl</dc:creator>
  <dc:description/>
  <dc:language>zh-CN</dc:language>
  <cp:lastModifiedBy/>
  <dcterms:modified xsi:type="dcterms:W3CDTF">2026-10-30T03:22:04Z</dcterms:modified>
  <cp:revision>0</cp:revision>
  <dc:subject/>
  <dc:title>远筑工程 · 工程变更与签证协同 AI 助手项目报价单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{"Label":"1","ContentProducer":"00119111010856365494821B355","ProduceID":"9337e971e19d4847bb2981be7b35de78","ContentPropagator":"00119111010856365494821B355","PropagateID":"9337e971e19d4847bb2981be7b35de78"}</vt:lpwstr>
  </property>
</Properties>
</file>